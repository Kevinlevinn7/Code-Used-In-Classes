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enzsy\AppData\Local\Microsoft\Olk\Attachments\ooa-99e18188-99ee-44a7-b03b-83fbef4c9574\0ee4a2703c1c5af8cd11099bff07926bc1bfc711a6a715cc65ff44002d5eee9d\"/>
    </mc:Choice>
  </mc:AlternateContent>
  <xr:revisionPtr revIDLastSave="0" documentId="13_ncr:1_{3840A548-C5B1-482C-92C5-3F1C593386F3}" xr6:coauthVersionLast="47" xr6:coauthVersionMax="47" xr10:uidLastSave="{00000000-0000-0000-0000-000000000000}"/>
  <bookViews>
    <workbookView xWindow="-110" yWindow="-110" windowWidth="19420" windowHeight="10300" xr2:uid="{CEAC3533-A24F-41FF-BA0C-C825703BC5B4}"/>
  </bookViews>
  <sheets>
    <sheet name="Sche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1" l="1"/>
  <c r="H30" i="1"/>
  <c r="H32" i="1" s="1"/>
  <c r="F30" i="1"/>
  <c r="R14" i="1"/>
  <c r="R15" i="1" s="1"/>
  <c r="P14" i="1"/>
  <c r="P15" i="1" s="1"/>
  <c r="N14" i="1"/>
  <c r="N15" i="1" s="1"/>
  <c r="L14" i="1"/>
  <c r="L15" i="1" s="1"/>
  <c r="J14" i="1"/>
  <c r="J15" i="1" s="1"/>
  <c r="H14" i="1"/>
  <c r="H15" i="1" s="1"/>
  <c r="F14" i="1"/>
  <c r="F15" i="1" s="1"/>
  <c r="D14" i="1"/>
  <c r="D15" i="1" s="1"/>
  <c r="B14" i="1"/>
  <c r="B15" i="1" s="1"/>
  <c r="S14" i="1" l="1"/>
</calcChain>
</file>

<file path=xl/sharedStrings.xml><?xml version="1.0" encoding="utf-8"?>
<sst xmlns="http://schemas.openxmlformats.org/spreadsheetml/2006/main" count="97" uniqueCount="44">
  <si>
    <t>Room</t>
  </si>
  <si>
    <t>Capacity</t>
  </si>
  <si>
    <t>Total</t>
  </si>
  <si>
    <t>Seats left</t>
  </si>
  <si>
    <t xml:space="preserve">Staff </t>
  </si>
  <si>
    <t>Gary Olson</t>
  </si>
  <si>
    <t>Recitation Instructors</t>
  </si>
  <si>
    <t>Extra Graders @ 11:00 AM</t>
  </si>
  <si>
    <t>Sydney McKenzie</t>
  </si>
  <si>
    <t>MATH 1120-001 - Reeves,Terry Chen</t>
  </si>
  <si>
    <t>MATH 1120-002 - Kirk,Zachary Adam</t>
  </si>
  <si>
    <t>MATH 1120-003 - Drummond, Rachel</t>
  </si>
  <si>
    <t>MATH 1120-004 - Kreeck, Anne Carol</t>
  </si>
  <si>
    <t>MATH 1120-H01 - Whitten, Pamela</t>
  </si>
  <si>
    <t>MATH 1401-001 - Omar, Fahridzal</t>
  </si>
  <si>
    <t>MATH 1401-002 - Whitten, Pamela</t>
  </si>
  <si>
    <t>MATH 1401-003 - Whitten, Pamela</t>
  </si>
  <si>
    <t>MATH 1401-004 - Omar, Fahridzal</t>
  </si>
  <si>
    <t>MATH 1401-005 - Klie, Daniel</t>
  </si>
  <si>
    <t>MATH 1401-102 - Whitten, Pamela</t>
  </si>
  <si>
    <t>MATH 1401-103 - Whitten, Pamela</t>
  </si>
  <si>
    <t>MATH 1401-H01 - Reeves, Terry</t>
  </si>
  <si>
    <t>MATH 1401-H02 - Sullivan, Bradley</t>
  </si>
  <si>
    <t>MATH 2411-001 - Boyce, Michael</t>
  </si>
  <si>
    <t>MATH 2411-002 - Whitten, Pamela</t>
  </si>
  <si>
    <t>MATH 2411-003 - Rostermundt, Rob</t>
  </si>
  <si>
    <t>MATH 2411-004 - Omar, Fahridzal</t>
  </si>
  <si>
    <t>MATH 2411-005 - Frantom, David</t>
  </si>
  <si>
    <t>MATH 2411-H01 - Rostermundt, Rob</t>
  </si>
  <si>
    <t>Acad-1500</t>
  </si>
  <si>
    <t>Acad-1600</t>
  </si>
  <si>
    <t>Acad-2500</t>
  </si>
  <si>
    <t>Acad-2600</t>
  </si>
  <si>
    <t>North-1003</t>
  </si>
  <si>
    <t>North-1005</t>
  </si>
  <si>
    <t>North-3112</t>
  </si>
  <si>
    <t>North-3202</t>
  </si>
  <si>
    <t xml:space="preserve">MATH 1401-R01-R81 Renneker,Lily </t>
  </si>
  <si>
    <t>MATH 1401-R02-R82 Liu,Baihan</t>
  </si>
  <si>
    <t>MATH 1401-R03-R83 Ruiz,Kevin Osvaldo</t>
  </si>
  <si>
    <t>MATH 1401-R04-R84 Burton,Raina Clare</t>
  </si>
  <si>
    <t>MATH 1401-R05-R85 Pearson,Hunter</t>
  </si>
  <si>
    <t>MATH 1401-R06-R86 Harris,Samuel Grey</t>
  </si>
  <si>
    <t>MATH 1401-R07-R87 Johnson,Aidan Michaela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</si>
</sst>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C7F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ACBDB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0" xfId="0" applyFont="1" applyFill="1"/>
    <xf numFmtId="0" fontId="1" fillId="3" borderId="4" xfId="0" applyFont="1" applyFill="1" applyBorder="1"/>
    <xf numFmtId="0" fontId="1" fillId="3" borderId="5" xfId="0" applyFont="1" applyFill="1" applyBorder="1"/>
    <xf numFmtId="0" fontId="0" fillId="0" borderId="0" xfId="0" applyAlignment="1">
      <alignment horizontal="left" vertical="top"/>
    </xf>
    <xf numFmtId="0" fontId="0" fillId="0" borderId="5" xfId="0" applyBorder="1"/>
    <xf numFmtId="0" fontId="0" fillId="0" borderId="4" xfId="0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1" fillId="0" borderId="0" xfId="0" applyFont="1"/>
    <xf numFmtId="0" fontId="0" fillId="5" borderId="0" xfId="0" applyFill="1"/>
    <xf numFmtId="0" fontId="1" fillId="6" borderId="4" xfId="0" applyFont="1" applyFill="1" applyBorder="1"/>
    <xf numFmtId="0" fontId="1" fillId="6" borderId="5" xfId="0" applyFont="1" applyFill="1" applyBorder="1"/>
    <xf numFmtId="0" fontId="2" fillId="0" borderId="0" xfId="0" applyFont="1"/>
    <xf numFmtId="0" fontId="1" fillId="5" borderId="0" xfId="0" applyFont="1" applyFill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DACB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91F0A-1061-432F-94E2-DFA601E7DC8E}">
  <sheetPr>
    <pageSetUpPr fitToPage="1"/>
  </sheetPr>
  <dimension ref="A1:S32"/>
  <sheetViews>
    <sheetView tabSelected="1" workbookViewId="0">
      <selection activeCell="C8" sqref="C8"/>
    </sheetView>
  </sheetViews>
  <sheetFormatPr defaultRowHeight="14.5" x14ac:dyDescent="0.35"/>
  <cols>
    <col min="1" max="1" width="24.453125" customWidth="1"/>
    <col min="2" max="2" width="17.453125" customWidth="1"/>
    <col min="3" max="3" width="25.81640625" customWidth="1"/>
    <col min="4" max="4" width="12.1796875" customWidth="1"/>
    <col min="5" max="5" width="25.453125" customWidth="1"/>
    <col min="6" max="6" width="10.453125" customWidth="1"/>
    <col min="7" max="7" width="26" customWidth="1"/>
    <col min="8" max="8" width="19.453125" customWidth="1"/>
    <col min="9" max="9" width="28.1796875" customWidth="1"/>
    <col min="10" max="10" width="21.81640625" customWidth="1"/>
    <col min="11" max="11" width="22" customWidth="1"/>
    <col min="12" max="12" width="13.453125" customWidth="1"/>
    <col min="13" max="13" width="24.26953125" customWidth="1"/>
    <col min="14" max="14" width="12.453125" customWidth="1"/>
    <col min="15" max="15" width="23.453125" customWidth="1"/>
    <col min="16" max="16" width="13.453125" customWidth="1"/>
    <col min="17" max="17" width="13.81640625" customWidth="1"/>
    <col min="18" max="18" width="13.1796875" customWidth="1"/>
  </cols>
  <sheetData>
    <row r="1" spans="1:19" x14ac:dyDescent="0.35">
      <c r="A1" s="1" t="s">
        <v>0</v>
      </c>
      <c r="B1" s="2" t="s">
        <v>1</v>
      </c>
      <c r="C1" s="3" t="s">
        <v>0</v>
      </c>
      <c r="D1" s="2" t="s">
        <v>1</v>
      </c>
      <c r="E1" s="1" t="s">
        <v>0</v>
      </c>
      <c r="F1" s="2" t="s">
        <v>1</v>
      </c>
      <c r="G1" s="1" t="s">
        <v>0</v>
      </c>
      <c r="H1" s="2" t="s">
        <v>1</v>
      </c>
      <c r="I1" s="1" t="s">
        <v>0</v>
      </c>
      <c r="J1" s="2" t="s">
        <v>1</v>
      </c>
      <c r="K1" s="1" t="s">
        <v>0</v>
      </c>
      <c r="L1" s="2" t="s">
        <v>1</v>
      </c>
      <c r="M1" s="1" t="s">
        <v>0</v>
      </c>
      <c r="N1" s="2" t="s">
        <v>1</v>
      </c>
      <c r="O1" s="1" t="s">
        <v>0</v>
      </c>
      <c r="P1" s="2" t="s">
        <v>1</v>
      </c>
      <c r="Q1" s="1" t="s">
        <v>0</v>
      </c>
      <c r="R1" s="2" t="s">
        <v>1</v>
      </c>
    </row>
    <row r="2" spans="1:19" x14ac:dyDescent="0.35">
      <c r="A2" s="4" t="s">
        <v>30</v>
      </c>
      <c r="B2" s="5">
        <v>172</v>
      </c>
      <c r="C2" s="6" t="s">
        <v>29</v>
      </c>
      <c r="D2" s="5">
        <v>172</v>
      </c>
      <c r="E2" s="4" t="s">
        <v>31</v>
      </c>
      <c r="F2" s="5">
        <v>150</v>
      </c>
      <c r="G2" s="4" t="s">
        <v>32</v>
      </c>
      <c r="H2" s="5">
        <v>277</v>
      </c>
      <c r="I2" s="17" t="s">
        <v>33</v>
      </c>
      <c r="J2" s="18">
        <v>60</v>
      </c>
      <c r="K2" s="7" t="s">
        <v>34</v>
      </c>
      <c r="L2" s="8">
        <v>71</v>
      </c>
      <c r="M2" s="7" t="s">
        <v>35</v>
      </c>
      <c r="N2" s="8">
        <v>50</v>
      </c>
      <c r="O2" s="7" t="s">
        <v>36</v>
      </c>
      <c r="P2" s="8">
        <v>52</v>
      </c>
      <c r="Q2" s="7"/>
      <c r="R2" s="8"/>
    </row>
    <row r="3" spans="1:19" x14ac:dyDescent="0.35">
      <c r="A3" t="s">
        <v>16</v>
      </c>
      <c r="B3">
        <v>33</v>
      </c>
      <c r="C3" t="s">
        <v>15</v>
      </c>
      <c r="D3">
        <v>112</v>
      </c>
      <c r="E3" t="s">
        <v>11</v>
      </c>
      <c r="F3">
        <v>19</v>
      </c>
      <c r="G3" t="s">
        <v>14</v>
      </c>
      <c r="H3">
        <v>140</v>
      </c>
      <c r="I3" t="s">
        <v>12</v>
      </c>
      <c r="J3">
        <v>28</v>
      </c>
      <c r="K3" t="s">
        <v>21</v>
      </c>
      <c r="L3">
        <v>25</v>
      </c>
      <c r="M3" t="s">
        <v>27</v>
      </c>
      <c r="N3">
        <v>23</v>
      </c>
      <c r="Q3" s="11"/>
      <c r="R3" s="10"/>
    </row>
    <row r="4" spans="1:19" x14ac:dyDescent="0.35">
      <c r="A4" t="s">
        <v>24</v>
      </c>
      <c r="B4">
        <v>32</v>
      </c>
      <c r="C4" t="s">
        <v>19</v>
      </c>
      <c r="D4">
        <v>15</v>
      </c>
      <c r="E4" t="s">
        <v>25</v>
      </c>
      <c r="F4">
        <v>32</v>
      </c>
      <c r="G4" t="s">
        <v>26</v>
      </c>
      <c r="H4">
        <v>35</v>
      </c>
      <c r="I4" t="s">
        <v>23</v>
      </c>
      <c r="J4">
        <v>27</v>
      </c>
      <c r="K4" t="s">
        <v>9</v>
      </c>
      <c r="L4">
        <v>32</v>
      </c>
      <c r="M4" t="s">
        <v>22</v>
      </c>
      <c r="N4">
        <v>17</v>
      </c>
      <c r="O4" s="11"/>
      <c r="P4" s="10"/>
      <c r="Q4" s="11"/>
      <c r="R4" s="10"/>
    </row>
    <row r="5" spans="1:19" x14ac:dyDescent="0.35">
      <c r="A5" t="s">
        <v>20</v>
      </c>
      <c r="B5">
        <v>7</v>
      </c>
      <c r="C5" t="s">
        <v>19</v>
      </c>
      <c r="D5">
        <v>15</v>
      </c>
      <c r="E5" t="s">
        <v>28</v>
      </c>
      <c r="F5">
        <v>19</v>
      </c>
      <c r="G5" t="s">
        <v>17</v>
      </c>
      <c r="H5">
        <v>17</v>
      </c>
      <c r="K5" s="11"/>
      <c r="L5" s="10"/>
      <c r="M5" s="11"/>
      <c r="N5" s="10"/>
      <c r="O5" s="11"/>
      <c r="P5" s="10"/>
      <c r="Q5" s="11"/>
      <c r="R5" s="10"/>
    </row>
    <row r="6" spans="1:19" x14ac:dyDescent="0.35">
      <c r="A6" t="s">
        <v>10</v>
      </c>
      <c r="B6">
        <v>32</v>
      </c>
      <c r="C6" t="s">
        <v>13</v>
      </c>
      <c r="D6">
        <v>15</v>
      </c>
      <c r="I6" s="11"/>
      <c r="J6" s="10"/>
      <c r="K6" s="11"/>
      <c r="L6" s="10"/>
      <c r="M6" s="11"/>
      <c r="N6" s="10"/>
      <c r="O6" s="11"/>
      <c r="P6" s="10"/>
      <c r="Q6" s="11"/>
      <c r="R6" s="10"/>
    </row>
    <row r="7" spans="1:19" x14ac:dyDescent="0.35">
      <c r="A7" t="s">
        <v>18</v>
      </c>
      <c r="B7">
        <v>38</v>
      </c>
      <c r="C7" s="9"/>
      <c r="D7" s="10"/>
      <c r="I7" s="11"/>
      <c r="J7" s="10"/>
      <c r="K7" s="11"/>
      <c r="L7" s="10"/>
      <c r="M7" s="11"/>
      <c r="N7" s="10"/>
      <c r="O7" s="11"/>
      <c r="P7" s="10"/>
      <c r="Q7" s="11"/>
      <c r="R7" s="10"/>
    </row>
    <row r="8" spans="1:19" x14ac:dyDescent="0.35">
      <c r="C8" s="11"/>
      <c r="D8" s="10"/>
      <c r="E8" s="11"/>
      <c r="F8" s="10"/>
      <c r="G8" s="11"/>
      <c r="H8" s="10"/>
      <c r="I8" s="11"/>
      <c r="J8" s="10"/>
      <c r="K8" s="11"/>
      <c r="L8" s="10"/>
      <c r="M8" s="11"/>
      <c r="N8" s="10"/>
      <c r="O8" s="11"/>
      <c r="P8" s="10"/>
      <c r="Q8" s="11"/>
      <c r="R8" s="10"/>
    </row>
    <row r="9" spans="1:19" x14ac:dyDescent="0.35">
      <c r="B9" s="10"/>
      <c r="C9" s="11"/>
      <c r="D9" s="10"/>
      <c r="F9" s="10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</row>
    <row r="10" spans="1:19" x14ac:dyDescent="0.35">
      <c r="B10" s="10"/>
      <c r="D10" s="10"/>
      <c r="F10" s="10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</row>
    <row r="11" spans="1:19" x14ac:dyDescent="0.35">
      <c r="B11" s="10"/>
      <c r="D11" s="10"/>
      <c r="E11" s="11"/>
      <c r="F11" s="10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</row>
    <row r="12" spans="1:19" x14ac:dyDescent="0.35">
      <c r="B12" s="10"/>
      <c r="D12" s="10"/>
      <c r="E12" s="11"/>
      <c r="F12" s="10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</row>
    <row r="13" spans="1:19" x14ac:dyDescent="0.35">
      <c r="A13" s="11"/>
      <c r="B13" s="10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</row>
    <row r="14" spans="1:19" x14ac:dyDescent="0.35">
      <c r="A14" s="11" t="s">
        <v>2</v>
      </c>
      <c r="B14" s="10">
        <f>SUM(B3:B13)</f>
        <v>142</v>
      </c>
      <c r="C14" t="s">
        <v>2</v>
      </c>
      <c r="D14" s="10">
        <f>SUM(D3:D13)</f>
        <v>157</v>
      </c>
      <c r="E14" s="11" t="s">
        <v>2</v>
      </c>
      <c r="F14" s="10">
        <f>SUM(F3:F13)</f>
        <v>70</v>
      </c>
      <c r="G14" s="11" t="s">
        <v>2</v>
      </c>
      <c r="H14" s="10">
        <f>SUM(H3:H13)</f>
        <v>192</v>
      </c>
      <c r="I14" s="11" t="s">
        <v>2</v>
      </c>
      <c r="J14" s="10">
        <f>SUM(J3:J13)</f>
        <v>55</v>
      </c>
      <c r="K14" s="11" t="s">
        <v>2</v>
      </c>
      <c r="L14" s="10">
        <f>SUM(L3:L13)</f>
        <v>57</v>
      </c>
      <c r="M14" s="11" t="s">
        <v>2</v>
      </c>
      <c r="N14" s="10">
        <f>SUM(N3:N13)</f>
        <v>40</v>
      </c>
      <c r="O14" s="11" t="s">
        <v>2</v>
      </c>
      <c r="P14" s="10">
        <f>SUM(P3:P13)</f>
        <v>0</v>
      </c>
      <c r="Q14" s="11" t="s">
        <v>2</v>
      </c>
      <c r="R14" s="10">
        <f>SUM(R3:R13)</f>
        <v>0</v>
      </c>
      <c r="S14">
        <f>SUM(A14:R14)</f>
        <v>713</v>
      </c>
    </row>
    <row r="15" spans="1:19" ht="15" thickBot="1" x14ac:dyDescent="0.4">
      <c r="A15" s="12" t="s">
        <v>3</v>
      </c>
      <c r="B15" s="13">
        <f>SUM(B2-B14)</f>
        <v>30</v>
      </c>
      <c r="C15" s="14" t="s">
        <v>3</v>
      </c>
      <c r="D15" s="13">
        <f>SUM(D2-D14)</f>
        <v>15</v>
      </c>
      <c r="E15" s="12" t="s">
        <v>3</v>
      </c>
      <c r="F15" s="13">
        <f>SUM(F2-F14)</f>
        <v>80</v>
      </c>
      <c r="G15" s="12" t="s">
        <v>3</v>
      </c>
      <c r="H15" s="13">
        <f>SUM(H2-H14)</f>
        <v>85</v>
      </c>
      <c r="I15" s="12" t="s">
        <v>3</v>
      </c>
      <c r="J15" s="13">
        <f>SUM(J2-J14)</f>
        <v>5</v>
      </c>
      <c r="K15" s="12" t="s">
        <v>3</v>
      </c>
      <c r="L15" s="13">
        <f>SUM(L2-L14)</f>
        <v>14</v>
      </c>
      <c r="M15" s="12" t="s">
        <v>3</v>
      </c>
      <c r="N15" s="13">
        <f>SUM(N2-N14)</f>
        <v>10</v>
      </c>
      <c r="O15" s="12" t="s">
        <v>3</v>
      </c>
      <c r="P15" s="13">
        <f>SUM(P2-P14)</f>
        <v>52</v>
      </c>
      <c r="Q15" s="12" t="s">
        <v>3</v>
      </c>
      <c r="R15" s="13">
        <f>SUM(R2-R14)</f>
        <v>0</v>
      </c>
    </row>
    <row r="17" spans="1:10" x14ac:dyDescent="0.35">
      <c r="A17" s="16" t="s">
        <v>6</v>
      </c>
    </row>
    <row r="18" spans="1:10" x14ac:dyDescent="0.35">
      <c r="A18" s="19" t="s">
        <v>37</v>
      </c>
      <c r="B18" s="15"/>
      <c r="C18" s="20" t="s">
        <v>4</v>
      </c>
    </row>
    <row r="19" spans="1:10" x14ac:dyDescent="0.35">
      <c r="A19" t="s">
        <v>38</v>
      </c>
    </row>
    <row r="20" spans="1:10" x14ac:dyDescent="0.35">
      <c r="A20" t="s">
        <v>39</v>
      </c>
      <c r="C20" t="s">
        <v>8</v>
      </c>
      <c r="E20" t="s">
        <v>9</v>
      </c>
      <c r="F20">
        <v>32</v>
      </c>
      <c r="G20" t="s">
        <v>14</v>
      </c>
      <c r="H20">
        <v>140</v>
      </c>
      <c r="I20" t="s">
        <v>23</v>
      </c>
      <c r="J20">
        <v>27</v>
      </c>
    </row>
    <row r="21" spans="1:10" x14ac:dyDescent="0.35">
      <c r="A21" t="s">
        <v>40</v>
      </c>
      <c r="C21" t="s">
        <v>5</v>
      </c>
      <c r="E21" t="s">
        <v>10</v>
      </c>
      <c r="F21">
        <v>32</v>
      </c>
      <c r="G21" t="s">
        <v>15</v>
      </c>
      <c r="H21">
        <v>112</v>
      </c>
      <c r="I21" t="s">
        <v>24</v>
      </c>
      <c r="J21">
        <v>32</v>
      </c>
    </row>
    <row r="22" spans="1:10" x14ac:dyDescent="0.35">
      <c r="A22" t="s">
        <v>41</v>
      </c>
      <c r="E22" t="s">
        <v>11</v>
      </c>
      <c r="F22">
        <v>19</v>
      </c>
      <c r="G22" t="s">
        <v>16</v>
      </c>
      <c r="H22">
        <v>33</v>
      </c>
      <c r="I22" t="s">
        <v>25</v>
      </c>
      <c r="J22">
        <v>32</v>
      </c>
    </row>
    <row r="23" spans="1:10" x14ac:dyDescent="0.35">
      <c r="A23" t="s">
        <v>42</v>
      </c>
      <c r="C23" s="15" t="s">
        <v>7</v>
      </c>
      <c r="E23" t="s">
        <v>12</v>
      </c>
      <c r="F23">
        <v>28</v>
      </c>
      <c r="G23" t="s">
        <v>17</v>
      </c>
      <c r="H23">
        <v>17</v>
      </c>
      <c r="I23" t="s">
        <v>26</v>
      </c>
      <c r="J23">
        <v>35</v>
      </c>
    </row>
    <row r="24" spans="1:10" x14ac:dyDescent="0.35">
      <c r="A24" t="s">
        <v>43</v>
      </c>
      <c r="E24" t="s">
        <v>13</v>
      </c>
      <c r="F24">
        <v>15</v>
      </c>
      <c r="G24" t="s">
        <v>18</v>
      </c>
      <c r="H24">
        <v>38</v>
      </c>
      <c r="I24" t="s">
        <v>27</v>
      </c>
      <c r="J24">
        <v>23</v>
      </c>
    </row>
    <row r="25" spans="1:10" x14ac:dyDescent="0.35">
      <c r="G25" t="s">
        <v>19</v>
      </c>
      <c r="H25">
        <v>15</v>
      </c>
      <c r="I25" t="s">
        <v>28</v>
      </c>
      <c r="J25">
        <v>19</v>
      </c>
    </row>
    <row r="26" spans="1:10" x14ac:dyDescent="0.35">
      <c r="G26" t="s">
        <v>20</v>
      </c>
      <c r="H26">
        <v>7</v>
      </c>
    </row>
    <row r="27" spans="1:10" x14ac:dyDescent="0.35">
      <c r="G27" t="s">
        <v>21</v>
      </c>
      <c r="H27">
        <v>25</v>
      </c>
    </row>
    <row r="28" spans="1:10" x14ac:dyDescent="0.35">
      <c r="G28" t="s">
        <v>22</v>
      </c>
      <c r="H28">
        <v>17</v>
      </c>
    </row>
    <row r="30" spans="1:10" x14ac:dyDescent="0.35">
      <c r="F30">
        <f>SUM(F20:F29)</f>
        <v>126</v>
      </c>
      <c r="H30">
        <f>SUM(H20:H29)</f>
        <v>404</v>
      </c>
      <c r="J30">
        <f>SUM(J20:J29)</f>
        <v>168</v>
      </c>
    </row>
    <row r="32" spans="1:10" x14ac:dyDescent="0.35">
      <c r="H32">
        <f>SUM(H30,F30,J30)</f>
        <v>698</v>
      </c>
    </row>
  </sheetData>
  <conditionalFormatting sqref="A1:R2 K3:L3 Q3:R3 G4:H4 O4:R4 K5:R5 A5:B6 I6:R7 C7:D7 C8:R8 B9:D9 F9:F10 H9:R12 D10 B10:B11 D11:F11 B12:F12 A13:R15">
    <cfRule type="containsText" dxfId="0" priority="1" operator="containsText" text="1060">
      <formula>NOT(ISERROR(SEARCH("1060",A1)))</formula>
    </cfRule>
  </conditionalFormatting>
  <pageMargins left="0.25" right="0.25" top="0.75" bottom="0.75" header="0.3" footer="0.3"/>
  <pageSetup scale="4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Spencer, Kayla</dc:creator>
  <cp:lastModifiedBy>McKenzie, Sydney</cp:lastModifiedBy>
  <cp:lastPrinted>2025-05-07T16:51:34Z</cp:lastPrinted>
  <dcterms:created xsi:type="dcterms:W3CDTF">2023-10-05T15:48:04Z</dcterms:created>
  <dcterms:modified xsi:type="dcterms:W3CDTF">2025-11-18T23:00:06Z</dcterms:modified>
</cp:coreProperties>
</file>